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HCP Reservations" sheetId="1" state="visible" r:id="rId3"/>
    <sheet name="Conventions" sheetId="2" state="visible" r:id="rId4"/>
    <sheet name="Rang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<sst xmlns="http://schemas.openxmlformats.org/spreadsheetml/2006/main" count="330" uniqueCount="285">
  <si>
    <t xml:space="preserve">DHCP Reservation Plan — Functional Banding</t>
  </si>
  <si>
    <t xml:space="preserve">Devices grouped by function, not manufacturer. Roaming devices (phones, tablets, laptops, guests) on DHCP pool .170–.220.</t>
  </si>
  <si>
    <t xml:space="preserve">Reserved IP</t>
  </si>
  <si>
    <t xml:space="preserve">MAC Address</t>
  </si>
  <si>
    <t xml:space="preserve">Device</t>
  </si>
  <si>
    <t xml:space="preserve">Current IP</t>
  </si>
  <si>
    <t xml:space="preserve">Location</t>
  </si>
  <si>
    <t xml:space="preserve">Notes</t>
  </si>
  <si>
    <t xml:space="preserve">— Infrastructure (.1–.19) —</t>
  </si>
  <si>
    <t xml:space="preserve">Gateway, mesh nodes, switches, DNS, future network appliances</t>
  </si>
  <si>
    <t xml:space="preserve">.1</t>
  </si>
  <si>
    <t xml:space="preserve">8C:86:DD:12:69:30</t>
  </si>
  <si>
    <t xml:space="preserve">Deco X50-5G Gateway</t>
  </si>
  <si>
    <t xml:space="preserve">.254</t>
  </si>
  <si>
    <t xml:space="preserve">Study</t>
  </si>
  <si>
    <t xml:space="preserve">Move to .1 for convention (if Deco allows)</t>
  </si>
  <si>
    <t xml:space="preserve">.2</t>
  </si>
  <si>
    <t xml:space="preserve">9C:53:22:83:F5:B0</t>
  </si>
  <si>
    <t xml:space="preserve">Deco PX50 Mesh Node</t>
  </si>
  <si>
    <t xml:space="preserve">.247</t>
  </si>
  <si>
    <t xml:space="preserve">Living Room</t>
  </si>
  <si>
    <t xml:space="preserve">.3</t>
  </si>
  <si>
    <t xml:space="preserve">F0:A7:31:1F:69:93</t>
  </si>
  <si>
    <t xml:space="preserve">.248</t>
  </si>
  <si>
    <t xml:space="preserve">Porch</t>
  </si>
  <si>
    <t xml:space="preserve">.4</t>
  </si>
  <si>
    <t xml:space="preserve">F0:A7:31:1F:68:9E</t>
  </si>
  <si>
    <t xml:space="preserve">.249</t>
  </si>
  <si>
    <t xml:space="preserve">Office</t>
  </si>
  <si>
    <t xml:space="preserve">.5</t>
  </si>
  <si>
    <t xml:space="preserve">9C:53:22:84:03:57</t>
  </si>
  <si>
    <t xml:space="preserve">.250</t>
  </si>
  <si>
    <t xml:space="preserve">.6–.19</t>
  </si>
  <si>
    <t xml:space="preserve">(Future: managed switch, PoE switch, DNS/Pi-hole, firewall appliance)</t>
  </si>
  <si>
    <t xml:space="preserve">14 slots reserved for network infrastructure expansion</t>
  </si>
  <si>
    <t xml:space="preserve">— Smart Home Core (.20–.29) —</t>
  </si>
  <si>
    <t xml:space="preserve">Home Assistant, voice satellites, energy monitoring, coordinators</t>
  </si>
  <si>
    <t xml:space="preserve">.20</t>
  </si>
  <si>
    <t xml:space="preserve">20:F8:3B:02:16:21</t>
  </si>
  <si>
    <t xml:space="preserve">Home Assistant</t>
  </si>
  <si>
    <t xml:space="preserve">.123</t>
  </si>
  <si>
    <t xml:space="preserve">Critical — many integrations reference this IP</t>
  </si>
  <si>
    <t xml:space="preserve">.21</t>
  </si>
  <si>
    <t xml:space="preserve">20:F8:3B:0A:3E:CC</t>
  </si>
  <si>
    <t xml:space="preserve">Home Assistant Voice Preview</t>
  </si>
  <si>
    <t xml:space="preserve">.82</t>
  </si>
  <si>
    <t xml:space="preserve">Kitchen</t>
  </si>
  <si>
    <t xml:space="preserve">Voice satellite — shopping list etc.</t>
  </si>
  <si>
    <t xml:space="preserve">.22</t>
  </si>
  <si>
    <t xml:space="preserve">78:1C:3C:33:C0:4C</t>
  </si>
  <si>
    <t xml:space="preserve">Octopus Energy Mini (CAD)</t>
  </si>
  <si>
    <t xml:space="preserve">.65</t>
  </si>
  <si>
    <t xml:space="preserve">Smart meter CAD — live energy data to HA</t>
  </si>
  <si>
    <t xml:space="preserve">.23–.29</t>
  </si>
  <si>
    <t xml:space="preserve">(Future: Zigbee coordinator, Z-Wave stick, additional voice satellites)</t>
  </si>
  <si>
    <t xml:space="preserve">Reserved for smart home core expansion</t>
  </si>
  <si>
    <t xml:space="preserve">— Security / Intercom (.30–.39) —</t>
  </si>
  <si>
    <t xml:space="preserve">Cameras, door stations, indoor stations, NVR</t>
  </si>
  <si>
    <t xml:space="preserve">.30</t>
  </si>
  <si>
    <t xml:space="preserve">BC:5E:33:58:B0:07</t>
  </si>
  <si>
    <t xml:space="preserve">Hikvision Door Station</t>
  </si>
  <si>
    <t xml:space="preserve">.41</t>
  </si>
  <si>
    <t xml:space="preserve">Front Door</t>
  </si>
  <si>
    <t xml:space="preserve">PoE via porch Tapo strip. ⚠ Keep firmware current</t>
  </si>
  <si>
    <t xml:space="preserve">.31</t>
  </si>
  <si>
    <t xml:space="preserve">14:F5:F9:B9:BA:CC</t>
  </si>
  <si>
    <t xml:space="preserve">Hikvision Indoor Station (Lounge)</t>
  </si>
  <si>
    <t xml:space="preserve">.42</t>
  </si>
  <si>
    <t xml:space="preserve">.32</t>
  </si>
  <si>
    <t xml:space="preserve">14:F5:F9:E8:D7:11</t>
  </si>
  <si>
    <t xml:space="preserve">Hikvision Indoor Station (Office)</t>
  </si>
  <si>
    <t xml:space="preserve">.43</t>
  </si>
  <si>
    <t xml:space="preserve">.33–.39</t>
  </si>
  <si>
    <t xml:space="preserve">(Future: additional cameras, NVR, motion sensors)</t>
  </si>
  <si>
    <t xml:space="preserve">Reserved for security expansion</t>
  </si>
  <si>
    <t xml:space="preserve">— Communications &amp; Office (.40–.49) —</t>
  </si>
  <si>
    <t xml:space="preserve">VoIP, printer, NAS, scanner</t>
  </si>
  <si>
    <t xml:space="preserve">.40</t>
  </si>
  <si>
    <t xml:space="preserve">24:9A:D8:B4:10:56</t>
  </si>
  <si>
    <t xml:space="preserve">Yealink W70B DECT Base Station</t>
  </si>
  <si>
    <t xml:space="preserve">.129</t>
  </si>
  <si>
    <t xml:space="preserve">SIP VoIP base</t>
  </si>
  <si>
    <t xml:space="preserve">28:56:5A:74:D9:26</t>
  </si>
  <si>
    <t xml:space="preserve">Brother Printer</t>
  </si>
  <si>
    <t xml:space="preserve">.34</t>
  </si>
  <si>
    <t xml:space="preserve">⚠ Disable FTP (21), Telnet (23), SMTP (25)</t>
  </si>
  <si>
    <t xml:space="preserve">.42–.49</t>
  </si>
  <si>
    <t xml:space="preserve">(Future: NAS, scanner, additional DECT handsets)</t>
  </si>
  <si>
    <t xml:space="preserve">Reserved for office expansion</t>
  </si>
  <si>
    <t xml:space="preserve">— AV / Entertainment (.50–.59) —</t>
  </si>
  <si>
    <t xml:space="preserve">TVs, speakers, streaming devices, gaming</t>
  </si>
  <si>
    <t xml:space="preserve">.50</t>
  </si>
  <si>
    <t xml:space="preserve">88:C9:E8:77:8D:1F</t>
  </si>
  <si>
    <t xml:space="preserve">Sony Bravia Smart TV</t>
  </si>
  <si>
    <t xml:space="preserve">.72</t>
  </si>
  <si>
    <t xml:space="preserve">Android TV — HA integrated</t>
  </si>
  <si>
    <t xml:space="preserve">.51</t>
  </si>
  <si>
    <t xml:space="preserve">5C:AA:FD:08:B2:6C</t>
  </si>
  <si>
    <t xml:space="preserve">Sonos Play:5</t>
  </si>
  <si>
    <t xml:space="preserve">.74</t>
  </si>
  <si>
    <t xml:space="preserve">UPnP/RTSP</t>
  </si>
  <si>
    <t xml:space="preserve">.52</t>
  </si>
  <si>
    <t xml:space="preserve">74:6D:FA:75:41:B0</t>
  </si>
  <si>
    <t xml:space="preserve">Samsung Smart TV (Bedroom)</t>
  </si>
  <si>
    <t xml:space="preserve">.76</t>
  </si>
  <si>
    <t xml:space="preserve">Bedroom</t>
  </si>
  <si>
    <t xml:space="preserve">HA integrated</t>
  </si>
  <si>
    <t xml:space="preserve">.53</t>
  </si>
  <si>
    <t xml:space="preserve">See note</t>
  </si>
  <si>
    <t xml:space="preserve">Samsung Smart TV (Kitchen)</t>
  </si>
  <si>
    <t xml:space="preserve">Offline</t>
  </si>
  <si>
    <t xml:space="preserve">⚠ Disable MAC randomisation first, then reserve</t>
  </si>
  <si>
    <t xml:space="preserve">.54</t>
  </si>
  <si>
    <t xml:space="preserve">—</t>
  </si>
  <si>
    <t xml:space="preserve">Sky Puck (Stream/Glass)</t>
  </si>
  <si>
    <t xml:space="preserve">Off</t>
  </si>
  <si>
    <t xml:space="preserve">Assign when next online</t>
  </si>
  <si>
    <t xml:space="preserve">.55</t>
  </si>
  <si>
    <t xml:space="preserve">PlayStation 4</t>
  </si>
  <si>
    <t xml:space="preserve">.56–.59</t>
  </si>
  <si>
    <t xml:space="preserve">(Future: additional Sonos speakers, streaming devices)</t>
  </si>
  <si>
    <t xml:space="preserve">Reserved for AV expansion</t>
  </si>
  <si>
    <t xml:space="preserve">— HVAC / Climate (.60–.79) —</t>
  </si>
  <si>
    <t xml:space="preserve">Heating, hot water, air quality, towel rails — critical home systems</t>
  </si>
  <si>
    <t xml:space="preserve">.60</t>
  </si>
  <si>
    <t xml:space="preserve">E0:5A:1B:6A:9F:40</t>
  </si>
  <si>
    <t xml:space="preserve">Sonoff Immersion Heater Controller</t>
  </si>
  <si>
    <t xml:space="preserve">TBC</t>
  </si>
  <si>
    <t xml:space="preserve">Critical — controls hot water. eWeLink/HA</t>
  </si>
  <si>
    <t xml:space="preserve">.61</t>
  </si>
  <si>
    <t xml:space="preserve">Sonoff Backup Immersion Controller</t>
  </si>
  <si>
    <t xml:space="preserve">.62</t>
  </si>
  <si>
    <t xml:space="preserve">FC:3C:D7:A1:99:1D</t>
  </si>
  <si>
    <t xml:space="preserve">Tuya UFH Controller (existing zone)</t>
  </si>
  <si>
    <t xml:space="preserve">.75</t>
  </si>
  <si>
    <t xml:space="preserve">HA integration planned</t>
  </si>
  <si>
    <t xml:space="preserve">.63</t>
  </si>
  <si>
    <t xml:space="preserve">38:A5:C9:A3:E5:AD</t>
  </si>
  <si>
    <t xml:space="preserve">MeacoDry Dehumidifier/Air Purifier</t>
  </si>
  <si>
    <t xml:space="preserve">.67</t>
  </si>
  <si>
    <t xml:space="preserve">Upstairs Landing</t>
  </si>
  <si>
    <t xml:space="preserve">Tuya-based — port 6668</t>
  </si>
  <si>
    <t xml:space="preserve">.64</t>
  </si>
  <si>
    <t xml:space="preserve">CC:BA:97:EC:0F:A8</t>
  </si>
  <si>
    <t xml:space="preserve">Shelly 1PM Gen4 — Heated Towel Rail</t>
  </si>
  <si>
    <t xml:space="preserve">Bathroom</t>
  </si>
  <si>
    <t xml:space="preserve">Power monitoring, Matter-enabled</t>
  </si>
  <si>
    <t xml:space="preserve">.65–.79</t>
  </si>
  <si>
    <t xml:space="preserve">(Future: additional UFH zones, TRVs, heat pump, radiator valves)</t>
  </si>
  <si>
    <t xml:space="preserve">15 slots reserved for HVAC expansion</t>
  </si>
  <si>
    <t xml:space="preserve">— Lighting (.80–.109) —</t>
  </si>
  <si>
    <t xml:space="preserve">All lighting control — switches, dimmers, smart plugs for lamps</t>
  </si>
  <si>
    <t xml:space="preserve">.80</t>
  </si>
  <si>
    <t xml:space="preserve">CC:BA:97:EB:35:04</t>
  </si>
  <si>
    <t xml:space="preserve">Shelly 1PM Gen4 — Cloakroom Light</t>
  </si>
  <si>
    <t xml:space="preserve">Cloakroom</t>
  </si>
  <si>
    <t xml:space="preserve">BLE gateway for cloakroom motion sensor</t>
  </si>
  <si>
    <t xml:space="preserve">.81</t>
  </si>
  <si>
    <t xml:space="preserve">E4:B0:63:78:DD:C8</t>
  </si>
  <si>
    <t xml:space="preserve">Shelly 1PM Gen4 — Upstairs Landing Lights</t>
  </si>
  <si>
    <t xml:space="preserve">Loft</t>
  </si>
  <si>
    <t xml:space="preserve">E4:B0:63:7E:59:24</t>
  </si>
  <si>
    <t xml:space="preserve">Shelly 1PM Gen4 — Loft Lights</t>
  </si>
  <si>
    <t xml:space="preserve">Future BLE gateway for loft hatch sensor</t>
  </si>
  <si>
    <t xml:space="preserve">.83</t>
  </si>
  <si>
    <t xml:space="preserve">E4:B0:63:61:C9:EC</t>
  </si>
  <si>
    <t xml:space="preserve">Shelly 2PM Gen4 — Porch Lights (Int/Ext)</t>
  </si>
  <si>
    <t xml:space="preserve">⚠ Beta FW 1.7.99. BLE gateway for door + lux sensor</t>
  </si>
  <si>
    <t xml:space="preserve">.84</t>
  </si>
  <si>
    <t xml:space="preserve">0C:EF:15:00:18:3B</t>
  </si>
  <si>
    <t xml:space="preserve">Tapo Smart Plug — Lounge Small Table Lamp</t>
  </si>
  <si>
    <t xml:space="preserve">.87</t>
  </si>
  <si>
    <t xml:space="preserve">Tapo single plug controlling lamp</t>
  </si>
  <si>
    <t xml:space="preserve">.85–.109</t>
  </si>
  <si>
    <t xml:space="preserve">(Future: additional Shelly switches, dimmers, Tapo lamp plugs)</t>
  </si>
  <si>
    <t xml:space="preserve">25 slots reserved for lighting expansion</t>
  </si>
  <si>
    <t xml:space="preserve">— Switching / Power (.110–.129) —</t>
  </si>
  <si>
    <t xml:space="preserve">Smart power strips — power distribution and monitoring</t>
  </si>
  <si>
    <t xml:space="preserve">.110</t>
  </si>
  <si>
    <t xml:space="preserve">0C:EF:15:CA:A6:9E</t>
  </si>
  <si>
    <t xml:space="preserve">Tapo P304M — Behind Lounge TV (AV)</t>
  </si>
  <si>
    <t xml:space="preserve">.57</t>
  </si>
  <si>
    <t xml:space="preserve">Powers: Sky Puck, Sound Bar, Sub Bass, Sony Bravia</t>
  </si>
  <si>
    <t xml:space="preserve">.111</t>
  </si>
  <si>
    <t xml:space="preserve">0C:EF:15:CA:A6:D4</t>
  </si>
  <si>
    <t xml:space="preserve">Tapo P304M — Behind TV (Gaming)</t>
  </si>
  <si>
    <t xml:space="preserve">⚠ Powers Deco PX50 mesh node — lock outlet</t>
  </si>
  <si>
    <t xml:space="preserve">.112</t>
  </si>
  <si>
    <t xml:space="preserve">0C:EF:15:CA:AE:76</t>
  </si>
  <si>
    <t xml:space="preserve">Tapo P304M — Lounge Table</t>
  </si>
  <si>
    <t xml:space="preserve">Powers: large table lamp, phone chargers</t>
  </si>
  <si>
    <t xml:space="preserve">.113</t>
  </si>
  <si>
    <t xml:space="preserve">98:BA:5F:84:2D:41</t>
  </si>
  <si>
    <t xml:space="preserve">Tapo Smart Power Strip — Porch</t>
  </si>
  <si>
    <t xml:space="preserve">.70</t>
  </si>
  <si>
    <t xml:space="preserve">⚠ Powers PoE switch (doorbell) + Octopus Mini — lock outlets</t>
  </si>
  <si>
    <t xml:space="preserve">.114–.129</t>
  </si>
  <si>
    <t xml:space="preserve">(Future: additional power strips, smart sockets)</t>
  </si>
  <si>
    <t xml:space="preserve">16 slots reserved for switching expansion</t>
  </si>
  <si>
    <t xml:space="preserve">— Miscellaneous / Utility (.130–.139) —</t>
  </si>
  <si>
    <t xml:space="preserve">Seasonal, mechanical, one-off devices</t>
  </si>
  <si>
    <t xml:space="preserve">.130</t>
  </si>
  <si>
    <t xml:space="preserve">E4:B0:63:7C:AE:10</t>
  </si>
  <si>
    <t xml:space="preserve">Shelly 1PM Gen4 — Clocktower Motor</t>
  </si>
  <si>
    <t xml:space="preserve">.56</t>
  </si>
  <si>
    <t xml:space="preserve">Sync clock motor — stop for DST changes</t>
  </si>
  <si>
    <t xml:space="preserve">.131</t>
  </si>
  <si>
    <t xml:space="preserve">A0:85:E3:BC:8B:50</t>
  </si>
  <si>
    <t xml:space="preserve">Shelly 1PM Gen4 — Christmas Tree Lights</t>
  </si>
  <si>
    <t xml:space="preserve">.79</t>
  </si>
  <si>
    <t xml:space="preserve">Seasonal use</t>
  </si>
  <si>
    <t xml:space="preserve">.132–.139</t>
  </si>
  <si>
    <t xml:space="preserve">(Future: seasonal devices, utility controllers)</t>
  </si>
  <si>
    <t xml:space="preserve">8 slots reserved</t>
  </si>
  <si>
    <t xml:space="preserve">— Unallocated (.140–.169) —</t>
  </si>
  <si>
    <t xml:space="preserve">Future manufacturers, new device categories, overflow</t>
  </si>
  <si>
    <t xml:space="preserve">.140–.169</t>
  </si>
  <si>
    <t xml:space="preserve">(Future: new ecosystems — Hue, Ring, Matter hubs, etc.)</t>
  </si>
  <si>
    <t xml:space="preserve">30 slots for unanticipated device categories</t>
  </si>
  <si>
    <t xml:space="preserve">— DHCP Pool (.170–.220) —</t>
  </si>
  <si>
    <t xml:space="preserve">Roaming &amp; guest devices — no reservations</t>
  </si>
  <si>
    <t xml:space="preserve">.170–.220</t>
  </si>
  <si>
    <t xml:space="preserve">iPhones, iPads, MacBook, guest devices</t>
  </si>
  <si>
    <t xml:space="preserve">Roaming</t>
  </si>
  <si>
    <t xml:space="preserve">51 addresses — no reservations needed</t>
  </si>
  <si>
    <t xml:space="preserve">— System Reserved (.221–.254) —</t>
  </si>
  <si>
    <t xml:space="preserve">Buffer zone — do not assign</t>
  </si>
  <si>
    <t xml:space="preserve">.221–.254</t>
  </si>
  <si>
    <t xml:space="preserve">Reserved (Deco nodes currently here, migrating to .1–.5)</t>
  </si>
  <si>
    <t xml:space="preserve">Keep clear for system use</t>
  </si>
  <si>
    <t xml:space="preserve">DHCP Reservation Conventions</t>
  </si>
  <si>
    <t xml:space="preserve">Grouping principle</t>
  </si>
  <si>
    <t xml:space="preserve">Devices grouped by FUNCTION, not manufacturer. A Shelly controlling a towel rail sits in HVAC, not Lighting. A Tapo plug on a lamp sits in Lighting, not Switching.</t>
  </si>
  <si>
    <t xml:space="preserve">Manufacturer-agnostic</t>
  </si>
  <si>
    <t xml:space="preserve">Shelly, Tapo, Sonoff, and Tuya devices are distributed across functional ranges. The IP tells you what it does, not who made it.</t>
  </si>
  <si>
    <t xml:space="preserve">Assignment order</t>
  </si>
  <si>
    <t xml:space="preserve">Within each range, assign from the lowest available IP upward.</t>
  </si>
  <si>
    <t xml:space="preserve">New device — known category</t>
  </si>
  <si>
    <t xml:space="preserve">Assign next available IP in the appropriate functional range.</t>
  </si>
  <si>
    <t xml:space="preserve">New device — unknown category</t>
  </si>
  <si>
    <t xml:space="preserve">If a new device doesn't fit any existing range, assign from Unallocated (.140–.169). If that category grows, consider formalising its own range.</t>
  </si>
  <si>
    <t xml:space="preserve">Decommissioned devices</t>
  </si>
  <si>
    <t xml:space="preserve">When removing a device, leave its IP unassigned for at least 3 months to avoid stale references in HA automations.</t>
  </si>
  <si>
    <t xml:space="preserve">Roaming devices</t>
  </si>
  <si>
    <t xml:space="preserve">Phones, tablets, laptops, and guest devices stay on the DHCP pool (.170–.220). No reservations needed.</t>
  </si>
  <si>
    <t xml:space="preserve">MAC randomisation</t>
  </si>
  <si>
    <t xml:space="preserve">Apple devices use Private WiFi Addresses by default — fine for DHCP pool. For any device needing a reservation, disable MAC randomisation first.</t>
  </si>
  <si>
    <t xml:space="preserve">Documentation</t>
  </si>
  <si>
    <t xml:space="preserve">Update this spreadsheet AND the HA device description whenever a reservation is added or changed.</t>
  </si>
  <si>
    <t xml:space="preserve">IP address format</t>
  </si>
  <si>
    <t xml:space="preserve">All addresses are 192.168.1.x — shorthand .x used throughout for readability.</t>
  </si>
  <si>
    <t xml:space="preserve">Critical devices</t>
  </si>
  <si>
    <t xml:space="preserve">HA (.20), Immersion (.60), Doorbell (.30), and Gateway (.1) should be verified working after any network changes.</t>
  </si>
  <si>
    <t xml:space="preserve">HVAC priority</t>
  </si>
  <si>
    <t xml:space="preserve">HVAC/Climate devices are safety-critical. Test thoroughly after any IP changes. Immersion heater controller should have backup access method documented.</t>
  </si>
  <si>
    <t xml:space="preserve">Future VLAN mapping</t>
  </si>
  <si>
    <t xml:space="preserve">This flat-network scheme maps cleanly to VLANs if needed later. Each functional range could become its own VLAN with inter-VLAN firewall rules.</t>
  </si>
  <si>
    <t xml:space="preserve">IP Range Summary</t>
  </si>
  <si>
    <t xml:space="preserve">Range</t>
  </si>
  <si>
    <t xml:space="preserve">Function</t>
  </si>
  <si>
    <t xml:space="preserve">Total Slots</t>
  </si>
  <si>
    <t xml:space="preserve">Assigned</t>
  </si>
  <si>
    <t xml:space="preserve">Available</t>
  </si>
  <si>
    <t xml:space="preserve">.1–.19</t>
  </si>
  <si>
    <t xml:space="preserve">Infrastructure</t>
  </si>
  <si>
    <t xml:space="preserve">.20–.29</t>
  </si>
  <si>
    <t xml:space="preserve">Smart Home Core</t>
  </si>
  <si>
    <t xml:space="preserve">.30–.39</t>
  </si>
  <si>
    <t xml:space="preserve">Security / Intercom</t>
  </si>
  <si>
    <t xml:space="preserve">.40–.49</t>
  </si>
  <si>
    <t xml:space="preserve">Communications &amp; Office</t>
  </si>
  <si>
    <t xml:space="preserve">.50–.59</t>
  </si>
  <si>
    <t xml:space="preserve">AV / Entertainment</t>
  </si>
  <si>
    <t xml:space="preserve">.60–.79</t>
  </si>
  <si>
    <t xml:space="preserve">HVAC / Climate</t>
  </si>
  <si>
    <t xml:space="preserve">.80–.109</t>
  </si>
  <si>
    <t xml:space="preserve">Lighting</t>
  </si>
  <si>
    <t xml:space="preserve">.110–.129</t>
  </si>
  <si>
    <t xml:space="preserve">Switching / Power</t>
  </si>
  <si>
    <t xml:space="preserve">.130–.139</t>
  </si>
  <si>
    <t xml:space="preserve">Miscellaneous / Utility</t>
  </si>
  <si>
    <t xml:space="preserve">Unallocated</t>
  </si>
  <si>
    <t xml:space="preserve">DHCP Pool</t>
  </si>
  <si>
    <t xml:space="preserve">System Reserved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</si>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</sst>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5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15.75" hidden="false" customHeight="true" outlineLevel="0" collapsed="false">
      <c r="A6" s="2" t="s">
        <v>9</v>
      </c>
      <c r="B6" s="2"/>
      <c r="C6" s="2"/>
      <c r="D6" s="2"/>
      <c r="E6" s="2"/>
      <c r="F6" s="2"/>
    </row>
    <row r="7" customFormat="false" ht="15" hidden="false" customHeight="false" outlineLevel="0" collapsed="false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</row>
    <row r="8" customFormat="false" ht="15" hidden="false" customHeight="false" outlineLevel="0" collapsed="false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/>
    </row>
    <row r="9" customFormat="false" ht="15" hidden="false" customHeight="false" outlineLevel="0" collapsed="false">
      <c r="A9" s="5" t="s">
        <v>21</v>
      </c>
      <c r="B9" s="5" t="s">
        <v>22</v>
      </c>
      <c r="C9" s="5" t="s">
        <v>18</v>
      </c>
      <c r="D9" s="5" t="s">
        <v>23</v>
      </c>
      <c r="E9" s="5" t="s">
        <v>24</v>
      </c>
      <c r="F9" s="5"/>
    </row>
    <row r="10" customFormat="false" ht="15" hidden="false" customHeight="false" outlineLevel="0" collapsed="false">
      <c r="A10" s="5" t="s">
        <v>25</v>
      </c>
      <c r="B10" s="5" t="s">
        <v>26</v>
      </c>
      <c r="C10" s="5" t="s">
        <v>18</v>
      </c>
      <c r="D10" s="5" t="s">
        <v>27</v>
      </c>
      <c r="E10" s="5" t="s">
        <v>28</v>
      </c>
      <c r="F10" s="5"/>
    </row>
    <row r="11" customFormat="false" ht="15" hidden="false" customHeight="false" outlineLevel="0" collapsed="false">
      <c r="A11" s="5" t="s">
        <v>29</v>
      </c>
      <c r="B11" s="5" t="s">
        <v>30</v>
      </c>
      <c r="C11" s="5" t="s">
        <v>18</v>
      </c>
      <c r="D11" s="5" t="s">
        <v>31</v>
      </c>
      <c r="E11" s="5" t="s">
        <v>14</v>
      </c>
      <c r="F11" s="5"/>
    </row>
    <row r="12" customFormat="false" ht="15" hidden="false" customHeight="false" outlineLevel="0" collapsed="false">
      <c r="A12" s="5" t="s">
        <v>32</v>
      </c>
      <c r="B12" s="5"/>
      <c r="C12" s="5" t="s">
        <v>33</v>
      </c>
      <c r="D12" s="5"/>
      <c r="E12" s="5"/>
      <c r="F12" s="5" t="s">
        <v>34</v>
      </c>
    </row>
    <row r="14" customFormat="false" ht="21.75" hidden="false" customHeight="true" outlineLevel="0" collapsed="false">
      <c r="A14" s="4" t="s">
        <v>35</v>
      </c>
      <c r="B14" s="4"/>
      <c r="C14" s="4"/>
      <c r="D14" s="4"/>
      <c r="E14" s="4"/>
      <c r="F14" s="4"/>
    </row>
    <row r="15" customFormat="false" ht="15.75" hidden="false" customHeight="true" outlineLevel="0" collapsed="false">
      <c r="A15" s="2" t="s">
        <v>36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5" t="s">
        <v>37</v>
      </c>
      <c r="B16" s="5" t="s">
        <v>38</v>
      </c>
      <c r="C16" s="5" t="s">
        <v>39</v>
      </c>
      <c r="D16" s="5" t="s">
        <v>40</v>
      </c>
      <c r="E16" s="5" t="s">
        <v>14</v>
      </c>
      <c r="F16" s="5" t="s">
        <v>41</v>
      </c>
    </row>
    <row r="17" customFormat="false" ht="15" hidden="false" customHeight="false" outlineLevel="0" collapsed="false">
      <c r="A17" s="5" t="s">
        <v>42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</row>
    <row r="18" customFormat="false" ht="15" hidden="false" customHeight="false" outlineLevel="0" collapsed="false">
      <c r="A18" s="5" t="s">
        <v>48</v>
      </c>
      <c r="B18" s="5" t="s">
        <v>49</v>
      </c>
      <c r="C18" s="5" t="s">
        <v>50</v>
      </c>
      <c r="D18" s="5" t="s">
        <v>51</v>
      </c>
      <c r="E18" s="5" t="s">
        <v>24</v>
      </c>
      <c r="F18" s="5" t="s">
        <v>52</v>
      </c>
    </row>
    <row r="19" customFormat="false" ht="15" hidden="false" customHeight="false" outlineLevel="0" collapsed="false">
      <c r="A19" s="5" t="s">
        <v>53</v>
      </c>
      <c r="B19" s="5"/>
      <c r="C19" s="5" t="s">
        <v>54</v>
      </c>
      <c r="D19" s="5"/>
      <c r="E19" s="5"/>
      <c r="F19" s="5" t="s">
        <v>55</v>
      </c>
    </row>
    <row r="21" customFormat="false" ht="21.75" hidden="false" customHeight="true" outlineLevel="0" collapsed="false">
      <c r="A21" s="4" t="s">
        <v>56</v>
      </c>
      <c r="B21" s="4"/>
      <c r="C21" s="4"/>
      <c r="D21" s="4"/>
      <c r="E21" s="4"/>
      <c r="F21" s="4"/>
    </row>
    <row r="22" customFormat="false" ht="15.75" hidden="false" customHeight="true" outlineLevel="0" collapsed="false">
      <c r="A22" s="2" t="s">
        <v>57</v>
      </c>
      <c r="B22" s="2"/>
      <c r="C22" s="2"/>
      <c r="D22" s="2"/>
      <c r="E22" s="2"/>
      <c r="F22" s="2"/>
    </row>
    <row r="23" customFormat="false" ht="15" hidden="false" customHeight="false" outlineLevel="0" collapsed="false">
      <c r="A23" s="5" t="s">
        <v>58</v>
      </c>
      <c r="B23" s="5" t="s">
        <v>59</v>
      </c>
      <c r="C23" s="5" t="s">
        <v>60</v>
      </c>
      <c r="D23" s="5" t="s">
        <v>61</v>
      </c>
      <c r="E23" s="5" t="s">
        <v>62</v>
      </c>
      <c r="F23" s="5" t="s">
        <v>63</v>
      </c>
    </row>
    <row r="24" customFormat="false" ht="15" hidden="false" customHeight="false" outlineLevel="0" collapsed="false">
      <c r="A24" s="5" t="s">
        <v>64</v>
      </c>
      <c r="B24" s="5" t="s">
        <v>65</v>
      </c>
      <c r="C24" s="5" t="s">
        <v>66</v>
      </c>
      <c r="D24" s="5" t="s">
        <v>67</v>
      </c>
      <c r="E24" s="5" t="s">
        <v>20</v>
      </c>
      <c r="F24" s="5"/>
    </row>
    <row r="25" customFormat="false" ht="15" hidden="false" customHeight="false" outlineLevel="0" collapsed="false">
      <c r="A25" s="5" t="s">
        <v>68</v>
      </c>
      <c r="B25" s="5" t="s">
        <v>69</v>
      </c>
      <c r="C25" s="5" t="s">
        <v>70</v>
      </c>
      <c r="D25" s="5" t="s">
        <v>71</v>
      </c>
      <c r="E25" s="5" t="s">
        <v>28</v>
      </c>
      <c r="F25" s="5"/>
    </row>
    <row r="26" customFormat="false" ht="15" hidden="false" customHeight="false" outlineLevel="0" collapsed="false">
      <c r="A26" s="5" t="s">
        <v>72</v>
      </c>
      <c r="B26" s="5"/>
      <c r="C26" s="5" t="s">
        <v>73</v>
      </c>
      <c r="D26" s="5"/>
      <c r="E26" s="5"/>
      <c r="F26" s="5" t="s">
        <v>74</v>
      </c>
    </row>
    <row r="28" customFormat="false" ht="21.75" hidden="false" customHeight="true" outlineLevel="0" collapsed="false">
      <c r="A28" s="4" t="s">
        <v>75</v>
      </c>
      <c r="B28" s="4"/>
      <c r="C28" s="4"/>
      <c r="D28" s="4"/>
      <c r="E28" s="4"/>
      <c r="F28" s="4"/>
    </row>
    <row r="29" customFormat="false" ht="15.75" hidden="false" customHeight="true" outlineLevel="0" collapsed="false">
      <c r="A29" s="2" t="s">
        <v>76</v>
      </c>
      <c r="B29" s="2"/>
      <c r="C29" s="2"/>
      <c r="D29" s="2"/>
      <c r="E29" s="2"/>
      <c r="F29" s="2"/>
    </row>
    <row r="30" customFormat="false" ht="15" hidden="false" customHeight="false" outlineLevel="0" collapsed="false">
      <c r="A30" s="5" t="s">
        <v>77</v>
      </c>
      <c r="B30" s="5" t="s">
        <v>78</v>
      </c>
      <c r="C30" s="5" t="s">
        <v>79</v>
      </c>
      <c r="D30" s="5" t="s">
        <v>80</v>
      </c>
      <c r="E30" s="5" t="s">
        <v>14</v>
      </c>
      <c r="F30" s="5" t="s">
        <v>81</v>
      </c>
    </row>
    <row r="31" customFormat="false" ht="15" hidden="false" customHeight="false" outlineLevel="0" collapsed="false">
      <c r="A31" s="5" t="s">
        <v>61</v>
      </c>
      <c r="B31" s="5" t="s">
        <v>82</v>
      </c>
      <c r="C31" s="5" t="s">
        <v>83</v>
      </c>
      <c r="D31" s="5" t="s">
        <v>84</v>
      </c>
      <c r="E31" s="5" t="s">
        <v>14</v>
      </c>
      <c r="F31" s="6" t="s">
        <v>85</v>
      </c>
    </row>
    <row r="32" customFormat="false" ht="15" hidden="false" customHeight="false" outlineLevel="0" collapsed="false">
      <c r="A32" s="5" t="s">
        <v>86</v>
      </c>
      <c r="B32" s="5"/>
      <c r="C32" s="5" t="s">
        <v>87</v>
      </c>
      <c r="D32" s="5"/>
      <c r="E32" s="5"/>
      <c r="F32" s="5" t="s">
        <v>88</v>
      </c>
    </row>
    <row r="34" customFormat="false" ht="21.75" hidden="false" customHeight="true" outlineLevel="0" collapsed="false">
      <c r="A34" s="4" t="s">
        <v>89</v>
      </c>
      <c r="B34" s="4"/>
      <c r="C34" s="4"/>
      <c r="D34" s="4"/>
      <c r="E34" s="4"/>
      <c r="F34" s="4"/>
    </row>
    <row r="35" customFormat="false" ht="15.75" hidden="false" customHeight="true" outlineLevel="0" collapsed="false">
      <c r="A35" s="2" t="s">
        <v>90</v>
      </c>
      <c r="B35" s="2"/>
      <c r="C35" s="2"/>
      <c r="D35" s="2"/>
      <c r="E35" s="2"/>
      <c r="F35" s="2"/>
    </row>
    <row r="36" customFormat="false" ht="15" hidden="false" customHeight="false" outlineLevel="0" collapsed="false">
      <c r="A36" s="5" t="s">
        <v>91</v>
      </c>
      <c r="B36" s="5" t="s">
        <v>92</v>
      </c>
      <c r="C36" s="5" t="s">
        <v>93</v>
      </c>
      <c r="D36" s="5" t="s">
        <v>94</v>
      </c>
      <c r="E36" s="5" t="s">
        <v>20</v>
      </c>
      <c r="F36" s="5" t="s">
        <v>95</v>
      </c>
    </row>
    <row r="37" customFormat="false" ht="15" hidden="false" customHeight="false" outlineLevel="0" collapsed="false">
      <c r="A37" s="5" t="s">
        <v>96</v>
      </c>
      <c r="B37" s="5" t="s">
        <v>97</v>
      </c>
      <c r="C37" s="5" t="s">
        <v>98</v>
      </c>
      <c r="D37" s="5" t="s">
        <v>99</v>
      </c>
      <c r="E37" s="5" t="s">
        <v>20</v>
      </c>
      <c r="F37" s="5" t="s">
        <v>100</v>
      </c>
    </row>
    <row r="38" customFormat="false" ht="15" hidden="false" customHeight="false" outlineLevel="0" collapsed="false">
      <c r="A38" s="5" t="s">
        <v>101</v>
      </c>
      <c r="B38" s="5" t="s">
        <v>102</v>
      </c>
      <c r="C38" s="5" t="s">
        <v>103</v>
      </c>
      <c r="D38" s="5" t="s">
        <v>104</v>
      </c>
      <c r="E38" s="5" t="s">
        <v>105</v>
      </c>
      <c r="F38" s="5" t="s">
        <v>106</v>
      </c>
    </row>
    <row r="39" customFormat="false" ht="15" hidden="false" customHeight="false" outlineLevel="0" collapsed="false">
      <c r="A39" s="5" t="s">
        <v>107</v>
      </c>
      <c r="B39" s="5" t="s">
        <v>108</v>
      </c>
      <c r="C39" s="5" t="s">
        <v>109</v>
      </c>
      <c r="D39" s="5" t="s">
        <v>110</v>
      </c>
      <c r="E39" s="5" t="s">
        <v>46</v>
      </c>
      <c r="F39" s="6" t="s">
        <v>111</v>
      </c>
    </row>
    <row r="40" customFormat="false" ht="15" hidden="false" customHeight="false" outlineLevel="0" collapsed="false">
      <c r="A40" s="5" t="s">
        <v>112</v>
      </c>
      <c r="B40" s="5" t="s">
        <v>113</v>
      </c>
      <c r="C40" s="5" t="s">
        <v>114</v>
      </c>
      <c r="D40" s="5" t="s">
        <v>115</v>
      </c>
      <c r="E40" s="5" t="s">
        <v>20</v>
      </c>
      <c r="F40" s="5" t="s">
        <v>116</v>
      </c>
    </row>
    <row r="41" customFormat="false" ht="15" hidden="false" customHeight="false" outlineLevel="0" collapsed="false">
      <c r="A41" s="5" t="s">
        <v>117</v>
      </c>
      <c r="B41" s="5" t="s">
        <v>113</v>
      </c>
      <c r="C41" s="5" t="s">
        <v>118</v>
      </c>
      <c r="D41" s="5" t="s">
        <v>115</v>
      </c>
      <c r="E41" s="5" t="s">
        <v>20</v>
      </c>
      <c r="F41" s="5" t="s">
        <v>116</v>
      </c>
    </row>
    <row r="42" customFormat="false" ht="15" hidden="false" customHeight="false" outlineLevel="0" collapsed="false">
      <c r="A42" s="5" t="s">
        <v>119</v>
      </c>
      <c r="B42" s="5"/>
      <c r="C42" s="5" t="s">
        <v>120</v>
      </c>
      <c r="D42" s="5"/>
      <c r="E42" s="5"/>
      <c r="F42" s="5" t="s">
        <v>121</v>
      </c>
    </row>
    <row r="44" customFormat="false" ht="21.75" hidden="false" customHeight="true" outlineLevel="0" collapsed="false">
      <c r="A44" s="4" t="s">
        <v>122</v>
      </c>
      <c r="B44" s="4"/>
      <c r="C44" s="4"/>
      <c r="D44" s="4"/>
      <c r="E44" s="4"/>
      <c r="F44" s="4"/>
    </row>
    <row r="45" customFormat="false" ht="15.75" hidden="false" customHeight="true" outlineLevel="0" collapsed="false">
      <c r="A45" s="2" t="s">
        <v>123</v>
      </c>
      <c r="B45" s="2"/>
      <c r="C45" s="2"/>
      <c r="D45" s="2"/>
      <c r="E45" s="2"/>
      <c r="F45" s="2"/>
    </row>
    <row r="46" customFormat="false" ht="15" hidden="false" customHeight="false" outlineLevel="0" collapsed="false">
      <c r="A46" s="5" t="s">
        <v>124</v>
      </c>
      <c r="B46" s="5" t="s">
        <v>125</v>
      </c>
      <c r="C46" s="5" t="s">
        <v>126</v>
      </c>
      <c r="D46" s="5" t="s">
        <v>101</v>
      </c>
      <c r="E46" s="5" t="s">
        <v>127</v>
      </c>
      <c r="F46" s="5" t="s">
        <v>128</v>
      </c>
    </row>
    <row r="47" customFormat="false" ht="15" hidden="false" customHeight="false" outlineLevel="0" collapsed="false">
      <c r="A47" s="5" t="s">
        <v>129</v>
      </c>
      <c r="B47" s="5" t="s">
        <v>113</v>
      </c>
      <c r="C47" s="5" t="s">
        <v>130</v>
      </c>
      <c r="D47" s="5" t="s">
        <v>115</v>
      </c>
      <c r="E47" s="5" t="s">
        <v>127</v>
      </c>
      <c r="F47" s="5" t="s">
        <v>116</v>
      </c>
    </row>
    <row r="48" customFormat="false" ht="15" hidden="false" customHeight="false" outlineLevel="0" collapsed="false">
      <c r="A48" s="5" t="s">
        <v>131</v>
      </c>
      <c r="B48" s="5" t="s">
        <v>132</v>
      </c>
      <c r="C48" s="5" t="s">
        <v>133</v>
      </c>
      <c r="D48" s="5" t="s">
        <v>134</v>
      </c>
      <c r="E48" s="5" t="s">
        <v>127</v>
      </c>
      <c r="F48" s="5" t="s">
        <v>135</v>
      </c>
    </row>
    <row r="49" customFormat="false" ht="15" hidden="false" customHeight="false" outlineLevel="0" collapsed="false">
      <c r="A49" s="5" t="s">
        <v>136</v>
      </c>
      <c r="B49" s="5" t="s">
        <v>137</v>
      </c>
      <c r="C49" s="5" t="s">
        <v>138</v>
      </c>
      <c r="D49" s="5" t="s">
        <v>139</v>
      </c>
      <c r="E49" s="5" t="s">
        <v>140</v>
      </c>
      <c r="F49" s="5" t="s">
        <v>141</v>
      </c>
    </row>
    <row r="50" customFormat="false" ht="15" hidden="false" customHeight="false" outlineLevel="0" collapsed="false">
      <c r="A50" s="5" t="s">
        <v>142</v>
      </c>
      <c r="B50" s="5" t="s">
        <v>143</v>
      </c>
      <c r="C50" s="5" t="s">
        <v>144</v>
      </c>
      <c r="D50" s="5" t="s">
        <v>117</v>
      </c>
      <c r="E50" s="5" t="s">
        <v>145</v>
      </c>
      <c r="F50" s="5" t="s">
        <v>146</v>
      </c>
    </row>
    <row r="51" customFormat="false" ht="15" hidden="false" customHeight="false" outlineLevel="0" collapsed="false">
      <c r="A51" s="5" t="s">
        <v>147</v>
      </c>
      <c r="B51" s="5"/>
      <c r="C51" s="5" t="s">
        <v>148</v>
      </c>
      <c r="D51" s="5"/>
      <c r="E51" s="5"/>
      <c r="F51" s="5" t="s">
        <v>149</v>
      </c>
    </row>
    <row r="53" customFormat="false" ht="21.75" hidden="false" customHeight="true" outlineLevel="0" collapsed="false">
      <c r="A53" s="4" t="s">
        <v>150</v>
      </c>
      <c r="B53" s="4"/>
      <c r="C53" s="4"/>
      <c r="D53" s="4"/>
      <c r="E53" s="4"/>
      <c r="F53" s="4"/>
    </row>
    <row r="54" customFormat="false" ht="15.75" hidden="false" customHeight="true" outlineLevel="0" collapsed="false">
      <c r="A54" s="2" t="s">
        <v>151</v>
      </c>
      <c r="B54" s="2"/>
      <c r="C54" s="2"/>
      <c r="D54" s="2"/>
      <c r="E54" s="2"/>
      <c r="F54" s="2"/>
    </row>
    <row r="55" customFormat="false" ht="15" hidden="false" customHeight="false" outlineLevel="0" collapsed="false">
      <c r="A55" s="5" t="s">
        <v>152</v>
      </c>
      <c r="B55" s="5" t="s">
        <v>153</v>
      </c>
      <c r="C55" s="5" t="s">
        <v>154</v>
      </c>
      <c r="D55" s="5" t="s">
        <v>129</v>
      </c>
      <c r="E55" s="5" t="s">
        <v>155</v>
      </c>
      <c r="F55" s="5" t="s">
        <v>156</v>
      </c>
    </row>
    <row r="56" customFormat="false" ht="15" hidden="false" customHeight="false" outlineLevel="0" collapsed="false">
      <c r="A56" s="5" t="s">
        <v>157</v>
      </c>
      <c r="B56" s="5" t="s">
        <v>158</v>
      </c>
      <c r="C56" s="5" t="s">
        <v>159</v>
      </c>
      <c r="D56" s="5" t="s">
        <v>131</v>
      </c>
      <c r="E56" s="5" t="s">
        <v>160</v>
      </c>
      <c r="F56" s="5"/>
    </row>
    <row r="57" customFormat="false" ht="15" hidden="false" customHeight="false" outlineLevel="0" collapsed="false">
      <c r="A57" s="5" t="s">
        <v>45</v>
      </c>
      <c r="B57" s="5" t="s">
        <v>161</v>
      </c>
      <c r="C57" s="5" t="s">
        <v>162</v>
      </c>
      <c r="D57" s="5" t="s">
        <v>136</v>
      </c>
      <c r="E57" s="5" t="s">
        <v>160</v>
      </c>
      <c r="F57" s="5" t="s">
        <v>163</v>
      </c>
    </row>
    <row r="58" customFormat="false" ht="15" hidden="false" customHeight="false" outlineLevel="0" collapsed="false">
      <c r="A58" s="5" t="s">
        <v>164</v>
      </c>
      <c r="B58" s="5" t="s">
        <v>165</v>
      </c>
      <c r="C58" s="5" t="s">
        <v>166</v>
      </c>
      <c r="D58" s="5" t="s">
        <v>142</v>
      </c>
      <c r="E58" s="5" t="s">
        <v>24</v>
      </c>
      <c r="F58" s="6" t="s">
        <v>167</v>
      </c>
    </row>
    <row r="59" customFormat="false" ht="15" hidden="false" customHeight="false" outlineLevel="0" collapsed="false">
      <c r="A59" s="5" t="s">
        <v>168</v>
      </c>
      <c r="B59" s="5" t="s">
        <v>169</v>
      </c>
      <c r="C59" s="5" t="s">
        <v>170</v>
      </c>
      <c r="D59" s="5" t="s">
        <v>171</v>
      </c>
      <c r="E59" s="5" t="s">
        <v>20</v>
      </c>
      <c r="F59" s="5" t="s">
        <v>172</v>
      </c>
    </row>
    <row r="60" customFormat="false" ht="15" hidden="false" customHeight="false" outlineLevel="0" collapsed="false">
      <c r="A60" s="5" t="s">
        <v>173</v>
      </c>
      <c r="B60" s="5"/>
      <c r="C60" s="5" t="s">
        <v>174</v>
      </c>
      <c r="D60" s="5"/>
      <c r="E60" s="5"/>
      <c r="F60" s="5" t="s">
        <v>175</v>
      </c>
    </row>
    <row r="62" customFormat="false" ht="21.75" hidden="false" customHeight="true" outlineLevel="0" collapsed="false">
      <c r="A62" s="4" t="s">
        <v>176</v>
      </c>
      <c r="B62" s="4"/>
      <c r="C62" s="4"/>
      <c r="D62" s="4"/>
      <c r="E62" s="4"/>
      <c r="F62" s="4"/>
    </row>
    <row r="63" customFormat="false" ht="15.75" hidden="false" customHeight="true" outlineLevel="0" collapsed="false">
      <c r="A63" s="2" t="s">
        <v>177</v>
      </c>
      <c r="B63" s="2"/>
      <c r="C63" s="2"/>
      <c r="D63" s="2"/>
      <c r="E63" s="2"/>
      <c r="F63" s="2"/>
    </row>
    <row r="64" customFormat="false" ht="15" hidden="false" customHeight="false" outlineLevel="0" collapsed="false">
      <c r="A64" s="5" t="s">
        <v>178</v>
      </c>
      <c r="B64" s="5" t="s">
        <v>179</v>
      </c>
      <c r="C64" s="5" t="s">
        <v>180</v>
      </c>
      <c r="D64" s="5" t="s">
        <v>181</v>
      </c>
      <c r="E64" s="5" t="s">
        <v>20</v>
      </c>
      <c r="F64" s="5" t="s">
        <v>182</v>
      </c>
    </row>
    <row r="65" customFormat="false" ht="15" hidden="false" customHeight="false" outlineLevel="0" collapsed="false">
      <c r="A65" s="5" t="s">
        <v>183</v>
      </c>
      <c r="B65" s="5" t="s">
        <v>184</v>
      </c>
      <c r="C65" s="5" t="s">
        <v>185</v>
      </c>
      <c r="D65" s="5" t="s">
        <v>124</v>
      </c>
      <c r="E65" s="5" t="s">
        <v>20</v>
      </c>
      <c r="F65" s="6" t="s">
        <v>186</v>
      </c>
    </row>
    <row r="66" customFormat="false" ht="15" hidden="false" customHeight="false" outlineLevel="0" collapsed="false">
      <c r="A66" s="5" t="s">
        <v>187</v>
      </c>
      <c r="B66" s="5" t="s">
        <v>188</v>
      </c>
      <c r="C66" s="5" t="s">
        <v>189</v>
      </c>
      <c r="D66" s="5" t="s">
        <v>107</v>
      </c>
      <c r="E66" s="5" t="s">
        <v>20</v>
      </c>
      <c r="F66" s="5" t="s">
        <v>190</v>
      </c>
    </row>
    <row r="67" customFormat="false" ht="15" hidden="false" customHeight="false" outlineLevel="0" collapsed="false">
      <c r="A67" s="5" t="s">
        <v>191</v>
      </c>
      <c r="B67" s="5" t="s">
        <v>192</v>
      </c>
      <c r="C67" s="5" t="s">
        <v>193</v>
      </c>
      <c r="D67" s="5" t="s">
        <v>194</v>
      </c>
      <c r="E67" s="5" t="s">
        <v>24</v>
      </c>
      <c r="F67" s="6" t="s">
        <v>195</v>
      </c>
    </row>
    <row r="68" customFormat="false" ht="15" hidden="false" customHeight="false" outlineLevel="0" collapsed="false">
      <c r="A68" s="5" t="s">
        <v>196</v>
      </c>
      <c r="B68" s="5"/>
      <c r="C68" s="5" t="s">
        <v>197</v>
      </c>
      <c r="D68" s="5"/>
      <c r="E68" s="5"/>
      <c r="F68" s="5" t="s">
        <v>198</v>
      </c>
    </row>
    <row r="70" customFormat="false" ht="21.75" hidden="false" customHeight="true" outlineLevel="0" collapsed="false">
      <c r="A70" s="4" t="s">
        <v>199</v>
      </c>
      <c r="B70" s="4"/>
      <c r="C70" s="4"/>
      <c r="D70" s="4"/>
      <c r="E70" s="4"/>
      <c r="F70" s="4"/>
    </row>
    <row r="71" customFormat="false" ht="15.75" hidden="false" customHeight="true" outlineLevel="0" collapsed="false">
      <c r="A71" s="2" t="s">
        <v>200</v>
      </c>
      <c r="B71" s="2"/>
      <c r="C71" s="2"/>
      <c r="D71" s="2"/>
      <c r="E71" s="2"/>
      <c r="F71" s="2"/>
    </row>
    <row r="72" customFormat="false" ht="15" hidden="false" customHeight="false" outlineLevel="0" collapsed="false">
      <c r="A72" s="5" t="s">
        <v>201</v>
      </c>
      <c r="B72" s="5" t="s">
        <v>202</v>
      </c>
      <c r="C72" s="5" t="s">
        <v>203</v>
      </c>
      <c r="D72" s="5" t="s">
        <v>204</v>
      </c>
      <c r="E72" s="5" t="s">
        <v>160</v>
      </c>
      <c r="F72" s="5" t="s">
        <v>205</v>
      </c>
    </row>
    <row r="73" customFormat="false" ht="15" hidden="false" customHeight="false" outlineLevel="0" collapsed="false">
      <c r="A73" s="5" t="s">
        <v>206</v>
      </c>
      <c r="B73" s="5" t="s">
        <v>207</v>
      </c>
      <c r="C73" s="5" t="s">
        <v>208</v>
      </c>
      <c r="D73" s="5" t="s">
        <v>209</v>
      </c>
      <c r="E73" s="5" t="s">
        <v>20</v>
      </c>
      <c r="F73" s="5" t="s">
        <v>210</v>
      </c>
    </row>
    <row r="74" customFormat="false" ht="15" hidden="false" customHeight="false" outlineLevel="0" collapsed="false">
      <c r="A74" s="5" t="s">
        <v>211</v>
      </c>
      <c r="B74" s="5"/>
      <c r="C74" s="5" t="s">
        <v>212</v>
      </c>
      <c r="D74" s="5"/>
      <c r="E74" s="5"/>
      <c r="F74" s="5" t="s">
        <v>213</v>
      </c>
    </row>
    <row r="76" customFormat="false" ht="21.75" hidden="false" customHeight="true" outlineLevel="0" collapsed="false">
      <c r="A76" s="4" t="s">
        <v>214</v>
      </c>
      <c r="B76" s="4"/>
      <c r="C76" s="4"/>
      <c r="D76" s="4"/>
      <c r="E76" s="4"/>
      <c r="F76" s="4"/>
    </row>
    <row r="77" customFormat="false" ht="15.75" hidden="false" customHeight="true" outlineLevel="0" collapsed="false">
      <c r="A77" s="2" t="s">
        <v>215</v>
      </c>
      <c r="B77" s="2"/>
      <c r="C77" s="2"/>
      <c r="D77" s="2"/>
      <c r="E77" s="2"/>
      <c r="F77" s="2"/>
    </row>
    <row r="78" customFormat="false" ht="15" hidden="false" customHeight="false" outlineLevel="0" collapsed="false">
      <c r="A78" s="5" t="s">
        <v>216</v>
      </c>
      <c r="B78" s="5"/>
      <c r="C78" s="5" t="s">
        <v>217</v>
      </c>
      <c r="D78" s="5"/>
      <c r="E78" s="5"/>
      <c r="F78" s="5" t="s">
        <v>218</v>
      </c>
    </row>
    <row r="80" customFormat="false" ht="21.75" hidden="false" customHeight="true" outlineLevel="0" collapsed="false">
      <c r="A80" s="4" t="s">
        <v>219</v>
      </c>
      <c r="B80" s="4"/>
      <c r="C80" s="4"/>
      <c r="D80" s="4"/>
      <c r="E80" s="4"/>
      <c r="F80" s="4"/>
    </row>
    <row r="81" customFormat="false" ht="15.75" hidden="false" customHeight="true" outlineLevel="0" collapsed="false">
      <c r="A81" s="2" t="s">
        <v>220</v>
      </c>
      <c r="B81" s="2"/>
      <c r="C81" s="2"/>
      <c r="D81" s="2"/>
      <c r="E81" s="2"/>
      <c r="F81" s="2"/>
    </row>
    <row r="82" customFormat="false" ht="15" hidden="false" customHeight="false" outlineLevel="0" collapsed="false">
      <c r="A82" s="5" t="s">
        <v>221</v>
      </c>
      <c r="B82" s="5"/>
      <c r="C82" s="5" t="s">
        <v>222</v>
      </c>
      <c r="D82" s="5"/>
      <c r="E82" s="5" t="s">
        <v>223</v>
      </c>
      <c r="F82" s="5" t="s">
        <v>224</v>
      </c>
    </row>
    <row r="84" customFormat="false" ht="21.75" hidden="false" customHeight="true" outlineLevel="0" collapsed="false">
      <c r="A84" s="4" t="s">
        <v>225</v>
      </c>
      <c r="B84" s="4"/>
      <c r="C84" s="4"/>
      <c r="D84" s="4"/>
      <c r="E84" s="4"/>
      <c r="F84" s="4"/>
    </row>
    <row r="85" customFormat="false" ht="15.75" hidden="false" customHeight="true" outlineLevel="0" collapsed="false">
      <c r="A85" s="2" t="s">
        <v>226</v>
      </c>
      <c r="B85" s="2"/>
      <c r="C85" s="2"/>
      <c r="D85" s="2"/>
      <c r="E85" s="2"/>
      <c r="F85" s="2"/>
    </row>
    <row r="86" customFormat="false" ht="15" hidden="false" customHeight="false" outlineLevel="0" collapsed="false">
      <c r="A86" s="5" t="s">
        <v>227</v>
      </c>
      <c r="B86" s="5"/>
      <c r="C86" s="5" t="s">
        <v>228</v>
      </c>
      <c r="D86" s="5"/>
      <c r="E86" s="5"/>
      <c r="F86" s="5" t="s">
        <v>229</v>
      </c>
    </row>
  </sheetData>
  <mergeCells count="26">
    <mergeCell ref="A1:F1"/>
    <mergeCell ref="A2:F2"/>
    <mergeCell ref="A5:F5"/>
    <mergeCell ref="A6:F6"/>
    <mergeCell ref="A14:F14"/>
    <mergeCell ref="A15:F15"/>
    <mergeCell ref="A21:F21"/>
    <mergeCell ref="A22:F22"/>
    <mergeCell ref="A28:F28"/>
    <mergeCell ref="A29:F29"/>
    <mergeCell ref="A34:F34"/>
    <mergeCell ref="A35:F35"/>
    <mergeCell ref="A44:F44"/>
    <mergeCell ref="A45:F45"/>
    <mergeCell ref="A53:F53"/>
    <mergeCell ref="A54:F54"/>
    <mergeCell ref="A62:F62"/>
    <mergeCell ref="A63:F63"/>
    <mergeCell ref="A70:F70"/>
    <mergeCell ref="A71:F71"/>
    <mergeCell ref="A76:F76"/>
    <mergeCell ref="A77:F77"/>
    <mergeCell ref="A80:F80"/>
    <mergeCell ref="A81:F81"/>
    <mergeCell ref="A84:F84"/>
    <mergeCell ref="A85:F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5"/>
  </cols>
  <sheetData>
    <row r="1" customFormat="false" ht="17.35" hidden="false" customHeight="false" outlineLevel="0" collapsed="false">
      <c r="A1" s="1" t="s">
        <v>230</v>
      </c>
      <c r="B1" s="1"/>
    </row>
    <row r="3" customFormat="false" ht="15" hidden="false" customHeight="false" outlineLevel="0" collapsed="false">
      <c r="A3" s="7" t="s">
        <v>231</v>
      </c>
      <c r="B3" s="8" t="s">
        <v>232</v>
      </c>
    </row>
    <row r="4" customFormat="false" ht="15" hidden="false" customHeight="false" outlineLevel="0" collapsed="false">
      <c r="A4" s="7" t="s">
        <v>233</v>
      </c>
      <c r="B4" s="8" t="s">
        <v>234</v>
      </c>
    </row>
    <row r="5" customFormat="false" ht="15" hidden="false" customHeight="false" outlineLevel="0" collapsed="false">
      <c r="A5" s="7" t="s">
        <v>235</v>
      </c>
      <c r="B5" s="8" t="s">
        <v>236</v>
      </c>
    </row>
    <row r="6" customFormat="false" ht="15" hidden="false" customHeight="false" outlineLevel="0" collapsed="false">
      <c r="A6" s="7" t="s">
        <v>237</v>
      </c>
      <c r="B6" s="8" t="s">
        <v>238</v>
      </c>
    </row>
    <row r="7" customFormat="false" ht="15" hidden="false" customHeight="false" outlineLevel="0" collapsed="false">
      <c r="A7" s="7" t="s">
        <v>239</v>
      </c>
      <c r="B7" s="8" t="s">
        <v>240</v>
      </c>
    </row>
    <row r="8" customFormat="false" ht="15" hidden="false" customHeight="false" outlineLevel="0" collapsed="false">
      <c r="A8" s="7" t="s">
        <v>241</v>
      </c>
      <c r="B8" s="8" t="s">
        <v>242</v>
      </c>
    </row>
    <row r="9" customFormat="false" ht="15" hidden="false" customHeight="false" outlineLevel="0" collapsed="false">
      <c r="A9" s="7" t="s">
        <v>243</v>
      </c>
      <c r="B9" s="8" t="s">
        <v>244</v>
      </c>
    </row>
    <row r="10" customFormat="false" ht="15" hidden="false" customHeight="false" outlineLevel="0" collapsed="false">
      <c r="A10" s="7" t="s">
        <v>245</v>
      </c>
      <c r="B10" s="8" t="s">
        <v>246</v>
      </c>
    </row>
    <row r="11" customFormat="false" ht="15" hidden="false" customHeight="false" outlineLevel="0" collapsed="false">
      <c r="A11" s="7" t="s">
        <v>247</v>
      </c>
      <c r="B11" s="8" t="s">
        <v>248</v>
      </c>
    </row>
    <row r="12" customFormat="false" ht="15" hidden="false" customHeight="false" outlineLevel="0" collapsed="false">
      <c r="A12" s="7" t="s">
        <v>249</v>
      </c>
      <c r="B12" s="8" t="s">
        <v>250</v>
      </c>
    </row>
    <row r="13" customFormat="false" ht="15" hidden="false" customHeight="false" outlineLevel="0" collapsed="false">
      <c r="A13" s="7" t="s">
        <v>251</v>
      </c>
      <c r="B13" s="8" t="s">
        <v>252</v>
      </c>
    </row>
    <row r="14" customFormat="false" ht="15" hidden="false" customHeight="false" outlineLevel="0" collapsed="false">
      <c r="A14" s="7" t="s">
        <v>253</v>
      </c>
      <c r="B14" s="8" t="s">
        <v>254</v>
      </c>
    </row>
    <row r="15" customFormat="false" ht="15" hidden="false" customHeight="false" outlineLevel="0" collapsed="false">
      <c r="A15" s="7" t="s">
        <v>255</v>
      </c>
      <c r="B15" s="8" t="s">
        <v>256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257</v>
      </c>
      <c r="B1" s="1"/>
      <c r="C1" s="1"/>
      <c r="D1" s="1"/>
      <c r="E1" s="1"/>
    </row>
    <row r="3" customFormat="false" ht="15" hidden="false" customHeight="false" outlineLevel="0" collapsed="false">
      <c r="A3" s="9" t="s">
        <v>258</v>
      </c>
      <c r="B3" s="9" t="s">
        <v>259</v>
      </c>
      <c r="C3" s="9" t="s">
        <v>260</v>
      </c>
      <c r="D3" s="9" t="s">
        <v>261</v>
      </c>
      <c r="E3" s="9" t="s">
        <v>262</v>
      </c>
    </row>
    <row r="4" customFormat="false" ht="15" hidden="false" customHeight="false" outlineLevel="0" collapsed="false">
      <c r="A4" s="10" t="s">
        <v>263</v>
      </c>
      <c r="B4" s="10" t="s">
        <v>264</v>
      </c>
      <c r="C4" s="11" t="n">
        <v>19</v>
      </c>
      <c r="D4" s="11" t="n">
        <v>5</v>
      </c>
      <c r="E4" s="11" t="n">
        <v>14</v>
      </c>
    </row>
    <row r="5" customFormat="false" ht="15" hidden="false" customHeight="false" outlineLevel="0" collapsed="false">
      <c r="A5" s="10" t="s">
        <v>265</v>
      </c>
      <c r="B5" s="10" t="s">
        <v>266</v>
      </c>
      <c r="C5" s="11" t="n">
        <v>10</v>
      </c>
      <c r="D5" s="11" t="n">
        <v>3</v>
      </c>
      <c r="E5" s="11" t="n">
        <v>7</v>
      </c>
    </row>
    <row r="6" customFormat="false" ht="15" hidden="false" customHeight="false" outlineLevel="0" collapsed="false">
      <c r="A6" s="10" t="s">
        <v>267</v>
      </c>
      <c r="B6" s="10" t="s">
        <v>268</v>
      </c>
      <c r="C6" s="11" t="n">
        <v>10</v>
      </c>
      <c r="D6" s="11" t="n">
        <v>3</v>
      </c>
      <c r="E6" s="11" t="n">
        <v>7</v>
      </c>
    </row>
    <row r="7" customFormat="false" ht="15" hidden="false" customHeight="false" outlineLevel="0" collapsed="false">
      <c r="A7" s="10" t="s">
        <v>269</v>
      </c>
      <c r="B7" s="10" t="s">
        <v>270</v>
      </c>
      <c r="C7" s="11" t="n">
        <v>10</v>
      </c>
      <c r="D7" s="11" t="n">
        <v>2</v>
      </c>
      <c r="E7" s="11" t="n">
        <v>8</v>
      </c>
    </row>
    <row r="8" customFormat="false" ht="15" hidden="false" customHeight="false" outlineLevel="0" collapsed="false">
      <c r="A8" s="10" t="s">
        <v>271</v>
      </c>
      <c r="B8" s="10" t="s">
        <v>272</v>
      </c>
      <c r="C8" s="11" t="n">
        <v>10</v>
      </c>
      <c r="D8" s="11" t="n">
        <v>6</v>
      </c>
      <c r="E8" s="11" t="n">
        <v>4</v>
      </c>
    </row>
    <row r="9" customFormat="false" ht="15" hidden="false" customHeight="false" outlineLevel="0" collapsed="false">
      <c r="A9" s="10" t="s">
        <v>273</v>
      </c>
      <c r="B9" s="10" t="s">
        <v>274</v>
      </c>
      <c r="C9" s="11" t="n">
        <v>20</v>
      </c>
      <c r="D9" s="11" t="n">
        <v>5</v>
      </c>
      <c r="E9" s="11" t="n">
        <v>15</v>
      </c>
    </row>
    <row r="10" customFormat="false" ht="15" hidden="false" customHeight="false" outlineLevel="0" collapsed="false">
      <c r="A10" s="10" t="s">
        <v>275</v>
      </c>
      <c r="B10" s="10" t="s">
        <v>276</v>
      </c>
      <c r="C10" s="11" t="n">
        <v>30</v>
      </c>
      <c r="D10" s="11" t="n">
        <v>5</v>
      </c>
      <c r="E10" s="11" t="n">
        <v>25</v>
      </c>
    </row>
    <row r="11" customFormat="false" ht="15" hidden="false" customHeight="false" outlineLevel="0" collapsed="false">
      <c r="A11" s="10" t="s">
        <v>277</v>
      </c>
      <c r="B11" s="10" t="s">
        <v>278</v>
      </c>
      <c r="C11" s="11" t="n">
        <v>20</v>
      </c>
      <c r="D11" s="11" t="n">
        <v>4</v>
      </c>
      <c r="E11" s="11" t="n">
        <v>16</v>
      </c>
    </row>
    <row r="12" customFormat="false" ht="15" hidden="false" customHeight="false" outlineLevel="0" collapsed="false">
      <c r="A12" s="10" t="s">
        <v>279</v>
      </c>
      <c r="B12" s="10" t="s">
        <v>280</v>
      </c>
      <c r="C12" s="11" t="n">
        <v>10</v>
      </c>
      <c r="D12" s="11" t="n">
        <v>2</v>
      </c>
      <c r="E12" s="11" t="n">
        <v>8</v>
      </c>
    </row>
    <row r="13" customFormat="false" ht="15" hidden="false" customHeight="false" outlineLevel="0" collapsed="false">
      <c r="A13" s="10" t="s">
        <v>216</v>
      </c>
      <c r="B13" s="10" t="s">
        <v>281</v>
      </c>
      <c r="C13" s="11" t="n">
        <v>30</v>
      </c>
      <c r="D13" s="11" t="n">
        <v>0</v>
      </c>
      <c r="E13" s="11" t="n">
        <v>30</v>
      </c>
    </row>
    <row r="14" customFormat="false" ht="15" hidden="false" customHeight="false" outlineLevel="0" collapsed="false">
      <c r="A14" s="10" t="s">
        <v>221</v>
      </c>
      <c r="B14" s="10" t="s">
        <v>282</v>
      </c>
      <c r="C14" s="11" t="n">
        <v>51</v>
      </c>
      <c r="D14" s="11" t="n">
        <v>0</v>
      </c>
      <c r="E14" s="11" t="n">
        <v>51</v>
      </c>
    </row>
    <row r="15" customFormat="false" ht="15" hidden="false" customHeight="false" outlineLevel="0" collapsed="false">
      <c r="A15" s="10" t="s">
        <v>227</v>
      </c>
      <c r="B15" s="10" t="s">
        <v>283</v>
      </c>
      <c r="C15" s="11" t="n">
        <v>34</v>
      </c>
      <c r="D15" s="11" t="n">
        <v>0</v>
      </c>
      <c r="E15" s="11" t="n">
        <v>34</v>
      </c>
    </row>
    <row r="16" customFormat="false" ht="15" hidden="false" customHeight="false" outlineLevel="0" collapsed="false">
      <c r="B16" s="7" t="s">
        <v>284</v>
      </c>
      <c r="C16" s="12" t="n">
        <f aca="false">SUM(C4:C15)</f>
        <v>254</v>
      </c>
      <c r="D16" s="12" t="n">
        <f aca="false">SUM(D4:D15)</f>
        <v>35</v>
      </c>
      <c r="E16" s="12" t="n">
        <f aca="false">SUM(E4:E15)</f>
        <v>219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2026-02-20T19:24:00Z</dcterms:created>
  <dc:creator>openpyxl</dc:creator>
  <dc:description/>
  <dc:language>en-US</dc:language>
  <cp:lastModifiedBy/>
  <dcterms:modified xsi:type="dcterms:W3CDTF">2026-02-20T19:24:00Z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